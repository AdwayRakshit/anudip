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WAY\OneDrive\Documents\anudip\"/>
    </mc:Choice>
  </mc:AlternateContent>
  <xr:revisionPtr revIDLastSave="0" documentId="8_{22ADDDA9-602D-4B6D-9070-F673F2868625}" xr6:coauthVersionLast="47" xr6:coauthVersionMax="47" xr10:uidLastSave="{00000000-0000-0000-0000-000000000000}"/>
  <bookViews>
    <workbookView xWindow="-15" yWindow="16080" windowWidth="29040" windowHeight="15720" activeTab="1" xr2:uid="{620C84A5-0400-4E0F-9E9D-CDBAD18E555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2" i="2"/>
  <c r="K3" i="2"/>
  <c r="K4" i="2"/>
  <c r="K5" i="2"/>
  <c r="K6" i="2"/>
  <c r="K7" i="2"/>
  <c r="K2" i="2"/>
  <c r="J3" i="2"/>
  <c r="J4" i="2"/>
  <c r="J5" i="2"/>
  <c r="J6" i="2"/>
  <c r="J7" i="2"/>
  <c r="J2" i="2"/>
  <c r="I8" i="2"/>
  <c r="I3" i="2"/>
  <c r="I4" i="2"/>
  <c r="I5" i="2"/>
  <c r="I6" i="2"/>
  <c r="I7" i="2"/>
  <c r="I2" i="2"/>
  <c r="H3" i="2"/>
  <c r="H4" i="2"/>
  <c r="H5" i="2"/>
  <c r="H6" i="2"/>
  <c r="H7" i="2"/>
  <c r="H2" i="2"/>
  <c r="G3" i="2"/>
  <c r="G4" i="2"/>
  <c r="G5" i="2"/>
  <c r="G6" i="2"/>
  <c r="G7" i="2"/>
  <c r="G2" i="2"/>
  <c r="F3" i="2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<sst xmlns="http://schemas.openxmlformats.org/spreadsheetml/2006/main" count="15" uniqueCount="13">
  <si>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</si>
  <si>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</si>
  <si>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</si>
  <si>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</si>
  <si>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</si>
  <si>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</si>
  <si>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</si>
  <si>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</si>
  <si>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</si>
  <si>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</si>
  <si>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</si>
  <si>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TotalPrice</t>
  </si>
  <si>
    <t>new 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</si>
</sst>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9">
    <xf numFmtId="0" fontId="0" fillId="0" borderId="0" xfId="0"/>
    <xf numFmtId="0" fontId="7" fillId="0" borderId="0" xfId="0" applyFont="1"/>
    <xf numFmtId="0" fontId="2" fillId="2" borderId="0" xfId="1"/>
    <xf numFmtId="0" fontId="4" fillId="4" borderId="0" xfId="3"/>
    <xf numFmtId="0" fontId="5" fillId="5" borderId="1" xfId="4"/>
    <xf numFmtId="0" fontId="6" fillId="6" borderId="2" xfId="5"/>
    <xf numFmtId="0" fontId="1" fillId="7" borderId="0" xfId="6"/>
    <xf numFmtId="0" fontId="3" fillId="3" borderId="0" xfId="2"/>
    <xf numFmtId="0" fontId="1" fillId="8" borderId="0" xfId="7"/>
  </cellXfs>
  <cellStyles count="8">
    <cellStyle name="40% - Accent2" xfId="6" builtinId="35"/>
    <cellStyle name="40% - Accent4" xfId="7" builtinId="43"/>
    <cellStyle name="Bad" xfId="2" builtinId="27"/>
    <cellStyle name="Calculation" xfId="4" builtinId="22"/>
    <cellStyle name="Check Cell" xfId="5" builtinId="23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C830-1E63-4EC1-A60E-28923EF095C9}">
  <dimension ref="A1:C7"/>
  <sheetViews>
    <sheetView workbookViewId="0">
      <selection activeCell="C8" sqref="C8"/>
    </sheetView>
  </sheetViews>
  <sheetFormatPr defaultRowHeight="15" x14ac:dyDescent="0.25"/>
  <cols>
    <col min="1" max="1" width="13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101</v>
      </c>
      <c r="B2" t="s">
        <v>3</v>
      </c>
      <c r="C2">
        <v>120</v>
      </c>
    </row>
    <row r="3" spans="1:3" x14ac:dyDescent="0.25">
      <c r="A3">
        <v>102</v>
      </c>
      <c r="B3" t="s">
        <v>4</v>
      </c>
      <c r="C3">
        <v>150</v>
      </c>
    </row>
    <row r="4" spans="1:3" x14ac:dyDescent="0.25">
      <c r="A4">
        <v>103</v>
      </c>
      <c r="B4" t="s">
        <v>5</v>
      </c>
      <c r="C4">
        <v>200</v>
      </c>
    </row>
    <row r="5" spans="1:3" x14ac:dyDescent="0.25">
      <c r="A5">
        <v>104</v>
      </c>
      <c r="B5" t="s">
        <v>6</v>
      </c>
      <c r="C5">
        <v>90</v>
      </c>
    </row>
    <row r="6" spans="1:3" x14ac:dyDescent="0.25">
      <c r="A6">
        <v>105</v>
      </c>
      <c r="B6" t="s">
        <v>7</v>
      </c>
      <c r="C6">
        <v>220</v>
      </c>
    </row>
    <row r="7" spans="1:3" x14ac:dyDescent="0.25">
      <c r="A7">
        <v>106</v>
      </c>
      <c r="B7" t="s">
        <v>8</v>
      </c>
      <c r="C7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B296-C9D3-4544-A34B-54AA1B24A854}">
  <dimension ref="A1:L8"/>
  <sheetViews>
    <sheetView tabSelected="1" workbookViewId="0">
      <selection activeCell="L2" sqref="L2:L7"/>
    </sheetView>
  </sheetViews>
  <sheetFormatPr defaultRowHeight="15" x14ac:dyDescent="0.25"/>
  <cols>
    <col min="9" max="9" width="14.140625" customWidth="1"/>
    <col min="10" max="10" width="16.7109375" customWidth="1"/>
  </cols>
  <sheetData>
    <row r="1" spans="1:12" ht="16.5" thickTop="1" thickBot="1" x14ac:dyDescent="0.3">
      <c r="A1" s="1" t="s">
        <v>9</v>
      </c>
      <c r="B1" s="1" t="s">
        <v>0</v>
      </c>
      <c r="C1" s="1" t="s">
        <v>10</v>
      </c>
      <c r="D1" s="2">
        <v>1</v>
      </c>
      <c r="E1" s="3" t="s">
        <v>2</v>
      </c>
      <c r="F1" s="3" t="s">
        <v>11</v>
      </c>
      <c r="G1" s="4">
        <v>3</v>
      </c>
      <c r="H1" s="5">
        <v>4</v>
      </c>
      <c r="I1" s="6" t="s">
        <v>12</v>
      </c>
      <c r="J1" s="8">
        <v>6</v>
      </c>
      <c r="L1">
        <v>7</v>
      </c>
    </row>
    <row r="2" spans="1:12" ht="16.5" thickTop="1" thickBot="1" x14ac:dyDescent="0.3">
      <c r="A2">
        <v>1</v>
      </c>
      <c r="B2">
        <v>101</v>
      </c>
      <c r="C2">
        <v>2</v>
      </c>
      <c r="D2" s="2" t="str">
        <f>VLOOKUP(B2,Sheet1!A1:C7,2,FALSE)</f>
        <v>Product A</v>
      </c>
      <c r="E2" s="3">
        <f>VLOOKUP(B2,Sheet1!A1:C7,3,FALSE)</f>
        <v>120</v>
      </c>
      <c r="F2" s="3">
        <f>PRODUCT(C2,E2)</f>
        <v>240</v>
      </c>
      <c r="G2" s="4" t="str">
        <f>IF(ISNA(VLOOKUP(B2,Sheet2!A1:C7,1,FALSE)),"Not Found","found")</f>
        <v>Not Found</v>
      </c>
      <c r="H2" s="5">
        <f>(VLOOKUP(B2,Sheet1!A1:C7,3,FALSE))*0.9</f>
        <v>108</v>
      </c>
      <c r="I2" s="6">
        <f>H2*C2</f>
        <v>216</v>
      </c>
      <c r="J2" s="8" t="str">
        <f>IF(ISNA(VLOOKUP(A2,B2:B7,1,FALSE)),"Not Ordered","Ordered")</f>
        <v>Not Ordered</v>
      </c>
      <c r="K2" t="str">
        <f>VLOOKUP(B2,Sheet1!A1:C7,2,FALSE)</f>
        <v>Product A</v>
      </c>
      <c r="L2">
        <f>SUMIF(B2:B7,B2,C2:C7)</f>
        <v>2</v>
      </c>
    </row>
    <row r="3" spans="1:12" ht="16.5" thickTop="1" thickBot="1" x14ac:dyDescent="0.3">
      <c r="A3">
        <v>2</v>
      </c>
      <c r="B3">
        <v>102</v>
      </c>
      <c r="C3">
        <v>1</v>
      </c>
      <c r="D3" s="2" t="str">
        <f>VLOOKUP(B3,Sheet1!A2:C8,2,FALSE)</f>
        <v>Product B</v>
      </c>
      <c r="E3" s="3">
        <f>VLOOKUP(B3,Sheet1!A2:C8,3,FALSE)</f>
        <v>150</v>
      </c>
      <c r="F3" s="3">
        <f t="shared" ref="F3:F7" si="0">PRODUCT(C3,E3)</f>
        <v>150</v>
      </c>
      <c r="G3" s="4" t="str">
        <f>IF(ISNA(VLOOKUP(B3,Sheet2!A2:C8,1,FALSE)),"Not Found","found")</f>
        <v>Not Found</v>
      </c>
      <c r="H3" s="5">
        <f>(VLOOKUP(B3,Sheet1!A2:C8,3,FALSE))*0.9</f>
        <v>135</v>
      </c>
      <c r="I3" s="6">
        <f t="shared" ref="I3:I7" si="1">H3*C3</f>
        <v>135</v>
      </c>
      <c r="J3" s="8" t="str">
        <f t="shared" ref="J3:J8" si="2">IF(ISNA(VLOOKUP(A3,B3:B8,1,FALSE)),"Not Ordered","Ordered")</f>
        <v>Not Ordered</v>
      </c>
      <c r="K3" t="str">
        <f>VLOOKUP(B3,Sheet1!A2:C8,2,FALSE)</f>
        <v>Product B</v>
      </c>
      <c r="L3">
        <f t="shared" ref="L3:L7" si="3">SUMIF(B3:B8,B3,C3:C8)</f>
        <v>1</v>
      </c>
    </row>
    <row r="4" spans="1:12" ht="16.5" thickTop="1" thickBot="1" x14ac:dyDescent="0.3">
      <c r="A4">
        <v>3</v>
      </c>
      <c r="B4">
        <v>103</v>
      </c>
      <c r="C4">
        <v>4</v>
      </c>
      <c r="D4" s="2" t="str">
        <f>VLOOKUP(B4,Sheet1!A3:C9,2,FALSE)</f>
        <v>Product C</v>
      </c>
      <c r="E4" s="3">
        <f>VLOOKUP(B4,Sheet1!A3:C9,3,FALSE)</f>
        <v>200</v>
      </c>
      <c r="F4" s="3">
        <f t="shared" si="0"/>
        <v>800</v>
      </c>
      <c r="G4" s="4" t="str">
        <f>IF(ISNA(VLOOKUP(B4,Sheet2!A3:C9,1,FALSE)),"Not Found","found")</f>
        <v>Not Found</v>
      </c>
      <c r="H4" s="5">
        <f>(VLOOKUP(B4,Sheet1!A3:C9,3,FALSE))*0.9</f>
        <v>180</v>
      </c>
      <c r="I4" s="6">
        <f t="shared" si="1"/>
        <v>720</v>
      </c>
      <c r="J4" s="8" t="str">
        <f t="shared" si="2"/>
        <v>Not Ordered</v>
      </c>
      <c r="K4" t="str">
        <f>VLOOKUP(B4,Sheet1!A3:C9,2,FALSE)</f>
        <v>Product C</v>
      </c>
      <c r="L4">
        <f t="shared" si="3"/>
        <v>4</v>
      </c>
    </row>
    <row r="5" spans="1:12" ht="16.5" thickTop="1" thickBot="1" x14ac:dyDescent="0.3">
      <c r="A5">
        <v>4</v>
      </c>
      <c r="B5">
        <v>104</v>
      </c>
      <c r="C5">
        <v>3</v>
      </c>
      <c r="D5" s="2" t="str">
        <f>VLOOKUP(B5,Sheet1!A4:C10,2,FALSE)</f>
        <v>Product D</v>
      </c>
      <c r="E5" s="3">
        <f>VLOOKUP(B5,Sheet1!A4:C10,3,FALSE)</f>
        <v>90</v>
      </c>
      <c r="F5" s="3">
        <f t="shared" si="0"/>
        <v>270</v>
      </c>
      <c r="G5" s="4" t="str">
        <f>IF(ISNA(VLOOKUP(B5,Sheet2!A4:C10,1,FALSE)),"Not Found","found")</f>
        <v>Not Found</v>
      </c>
      <c r="H5" s="5">
        <f>(VLOOKUP(B5,Sheet1!A4:C10,3,FALSE))*0.9</f>
        <v>81</v>
      </c>
      <c r="I5" s="6">
        <f t="shared" si="1"/>
        <v>243</v>
      </c>
      <c r="J5" s="8" t="str">
        <f t="shared" si="2"/>
        <v>Not Ordered</v>
      </c>
      <c r="K5" t="str">
        <f>VLOOKUP(B5,Sheet1!A4:C10,2,FALSE)</f>
        <v>Product D</v>
      </c>
      <c r="L5">
        <f t="shared" si="3"/>
        <v>3</v>
      </c>
    </row>
    <row r="6" spans="1:12" ht="16.5" thickTop="1" thickBot="1" x14ac:dyDescent="0.3">
      <c r="A6">
        <v>5</v>
      </c>
      <c r="B6">
        <v>105</v>
      </c>
      <c r="C6">
        <v>5</v>
      </c>
      <c r="D6" s="2" t="str">
        <f>VLOOKUP(B6,Sheet1!A5:C11,2,FALSE)</f>
        <v>Product E</v>
      </c>
      <c r="E6" s="3">
        <f>VLOOKUP(B6,Sheet1!A5:C11,3,FALSE)</f>
        <v>220</v>
      </c>
      <c r="F6" s="3">
        <f t="shared" si="0"/>
        <v>1100</v>
      </c>
      <c r="G6" s="4" t="str">
        <f>IF(ISNA(VLOOKUP(B6,Sheet2!A5:C11,1,FALSE)),"Not Found","found")</f>
        <v>Not Found</v>
      </c>
      <c r="H6" s="5">
        <f>(VLOOKUP(B6,Sheet1!A5:C11,3,FALSE))*0.9</f>
        <v>198</v>
      </c>
      <c r="I6" s="6">
        <f t="shared" si="1"/>
        <v>990</v>
      </c>
      <c r="J6" s="8" t="str">
        <f t="shared" si="2"/>
        <v>Not Ordered</v>
      </c>
      <c r="K6" t="str">
        <f>VLOOKUP(B6,Sheet1!A5:C11,2,FALSE)</f>
        <v>Product E</v>
      </c>
      <c r="L6">
        <f t="shared" si="3"/>
        <v>5</v>
      </c>
    </row>
    <row r="7" spans="1:12" ht="16.5" thickTop="1" thickBot="1" x14ac:dyDescent="0.3">
      <c r="A7">
        <v>6</v>
      </c>
      <c r="B7">
        <v>106</v>
      </c>
      <c r="C7">
        <v>6</v>
      </c>
      <c r="D7" s="2" t="str">
        <f>VLOOKUP(B7,Sheet1!A6:C12,2,FALSE)</f>
        <v>Product F</v>
      </c>
      <c r="E7" s="3">
        <f>VLOOKUP(B7,Sheet1!A6:C12,3,FALSE)</f>
        <v>130</v>
      </c>
      <c r="F7" s="3">
        <f t="shared" si="0"/>
        <v>780</v>
      </c>
      <c r="G7" s="4" t="str">
        <f>IF(ISNA(VLOOKUP(B7,Sheet2!A6:C12,1,FALSE)),"Not Found","found")</f>
        <v>Not Found</v>
      </c>
      <c r="H7" s="5">
        <f>(VLOOKUP(B7,Sheet1!A6:C12,3,FALSE))*0.9</f>
        <v>117</v>
      </c>
      <c r="I7" s="6">
        <f t="shared" si="1"/>
        <v>702</v>
      </c>
      <c r="J7" s="8" t="str">
        <f t="shared" si="2"/>
        <v>Not Ordered</v>
      </c>
      <c r="K7" t="str">
        <f>VLOOKUP(B7,Sheet1!A6:C12,2,FALSE)</f>
        <v>Product F</v>
      </c>
      <c r="L7">
        <f t="shared" si="3"/>
        <v>6</v>
      </c>
    </row>
    <row r="8" spans="1:12" ht="15.75" thickTop="1" x14ac:dyDescent="0.25">
      <c r="H8" s="7">
        <v>5</v>
      </c>
      <c r="I8" s="7">
        <f>MAX(I2:I7)</f>
        <v>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adway rakshit</dc:creator>
  <cp:lastModifiedBy>adway rakshit</cp:lastModifiedBy>
  <dcterms:created xsi:type="dcterms:W3CDTF">2026-03-11T02:16:27Z</dcterms:created>
  <dcterms:modified xsi:type="dcterms:W3CDTF">2026-03-11T03:23:55Z</dcterms:modified>
</cp:coreProperties>
</file>