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WAY\OneDrive\Documents\anudip\"/>
    </mc:Choice>
  </mc:AlternateContent>
  <xr:revisionPtr revIDLastSave="0" documentId="8_{1CFC0AE0-6C58-461B-ADEA-84B24B30251C}" xr6:coauthVersionLast="47" xr6:coauthVersionMax="47" xr10:uidLastSave="{00000000-0000-0000-0000-000000000000}"/>
  <bookViews>
    <workbookView xWindow="-15" yWindow="16080" windowWidth="29040" windowHeight="15720" activeTab="1" xr2:uid="{2CE48592-67DA-4AFC-90C2-FAB71330BA3E}"/>
  </bookViews>
  <sheets>
    <sheet name="Sheet1" sheetId="1" r:id="rId1"/>
    <sheet name="Sheet2" sheetId="2" r:id="rId2"/>
  </sheets>
  <definedNames>
    <definedName name="_xlnm._FilterDatabase" localSheetId="0" hidden="1">Sheet1!$B$1:$B$501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2" i="2"/>
  <c r="L3" i="2"/>
  <c r="L4" i="2"/>
  <c r="L5" i="2"/>
  <c r="L6" i="2"/>
  <c r="L7" i="2"/>
  <c r="L2" i="2"/>
  <c r="K3" i="2"/>
  <c r="K4" i="2"/>
  <c r="K5" i="2"/>
  <c r="K6" i="2"/>
  <c r="K7" i="2"/>
  <c r="K2" i="2"/>
  <c r="J3" i="2"/>
  <c r="J4" i="2"/>
  <c r="J5" i="2"/>
  <c r="J6" i="2"/>
  <c r="J7" i="2"/>
  <c r="J2" i="2"/>
  <c r="I3" i="2"/>
  <c r="I4" i="2"/>
  <c r="I5" i="2"/>
  <c r="I6" i="2"/>
  <c r="I7" i="2"/>
  <c r="I2" i="2"/>
  <c r="H3" i="2"/>
  <c r="H2" i="2"/>
  <c r="H4" i="2"/>
  <c r="H5" i="2"/>
  <c r="H6" i="2"/>
  <c r="H7" i="2"/>
  <c r="G3" i="2"/>
  <c r="G4" i="2"/>
  <c r="G5" i="2"/>
  <c r="G6" i="2"/>
  <c r="G7" i="2"/>
  <c r="G2" i="2"/>
  <c r="F3" i="2"/>
  <c r="F4" i="2"/>
  <c r="F5" i="2"/>
  <c r="F6" i="2"/>
  <c r="F7" i="2"/>
  <c r="F2" i="2"/>
  <c r="V20" i="1"/>
  <c r="W17" i="1"/>
  <c r="V14" i="1"/>
  <c r="V13" i="1"/>
  <c r="V12" i="1"/>
  <c r="W9" i="1"/>
</calcChain>
</file>

<file path=xl/sharedStrings.xml><?xml version="1.0" encoding="utf-8"?>
<sst xmlns="http://schemas.openxmlformats.org/spreadsheetml/2006/main" count="2657" uniqueCount="97">
  <si>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</si>
  <si>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</si>
  <si>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</si>
  <si>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</si>
  <si>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</si>
  <si>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</si>
  <si>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</si>
  <si>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</si>
  <si>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</si>
  <si>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</si>
  <si>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</si>
  <si>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</si>
  <si>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</si>
  <si>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</si>
  <si>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</si>
  <si>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</si>
  <si>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</si>
  <si>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</si>
  <si>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</si>
  <si>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</si>
  <si>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</si>
  <si>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</si>
  <si>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</si>
  <si>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</si>
  <si>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</si>
  <si>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</si>
  <si>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</si>
  <si>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</si>
  <si>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</si>
  <si>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</si>
  <si>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</si>
  <si>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</si>
  <si>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</si>
  <si>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</si>
  <si>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</si>
  <si>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</si>
  <si>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</si>
  <si>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</si>
  <si>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</si>
  <si>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</si>
  <si>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</si>
  <si>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</si>
  <si>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</si>
  <si>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</si>
  <si>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</si>
  <si>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</si>
  <si>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</si>
  <si>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</si>
  <si>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</si>
  <si>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</si>
  <si>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</si>
  <si>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</si>
  <si>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</si>
  <si>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</si>
  <si>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</si>
  <si>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</si>
  <si>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</si>
  <si>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</si>
  <si>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</si>
  <si>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</si>
  <si>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</si>
  <si>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</si>
  <si>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</si>
  <si>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</si>
  <si>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</si>
  <si>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</si>
  <si>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</si>
  <si>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</si>
  <si>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</si>
  <si>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product category</t>
  </si>
  <si>
    <t xml:space="preserve">brand name </t>
  </si>
  <si>
    <t>total unit sold</t>
  </si>
  <si>
    <t>average</t>
  </si>
  <si>
    <t>count</t>
  </si>
  <si>
    <t>ProductID</t>
  </si>
  <si>
    <t>Product</t>
  </si>
  <si>
    <t>Sales</t>
  </si>
  <si>
    <t>Target</t>
  </si>
  <si>
    <t>Region</t>
  </si>
  <si>
    <t>Product A</t>
  </si>
  <si>
    <t>Product B</t>
  </si>
  <si>
    <t>North</t>
  </si>
  <si>
    <t>South</t>
  </si>
  <si>
    <t>Product C</t>
  </si>
  <si>
    <t>East</t>
  </si>
  <si>
    <t>Product D</t>
  </si>
  <si>
    <t>West</t>
  </si>
  <si>
    <t>Product E</t>
  </si>
  <si>
    <t>Product F</t>
  </si>
  <si>
    <t>2.bonus eligiblity</t>
  </si>
  <si>
    <t>1.sales target met</t>
  </si>
  <si>
    <t>3.commision</t>
  </si>
  <si>
    <t>4.bonus</t>
  </si>
  <si>
    <t>5.sales performance</t>
  </si>
  <si>
    <t>6.price tier</t>
  </si>
  <si>
    <t>7.year end bonus</t>
  </si>
  <si>
    <t>8.top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</si>
</sst>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2" applyNumberFormat="0" applyAlignment="0" applyProtection="0"/>
    <xf numFmtId="0" fontId="3" fillId="4" borderId="2" applyNumberFormat="0" applyAlignment="0" applyProtection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vertical="center" wrapText="1"/>
    </xf>
    <xf numFmtId="0" fontId="1" fillId="2" borderId="0" xfId="1" applyAlignment="1">
      <alignment horizontal="center" vertical="center" wrapText="1"/>
    </xf>
    <xf numFmtId="0" fontId="1" fillId="2" borderId="0" xfId="1"/>
    <xf numFmtId="9" fontId="0" fillId="0" borderId="0" xfId="0" applyNumberFormat="1"/>
    <xf numFmtId="0" fontId="2" fillId="3" borderId="2" xfId="2" applyAlignment="1">
      <alignment horizontal="center" vertical="center" wrapText="1"/>
    </xf>
    <xf numFmtId="0" fontId="2" fillId="3" borderId="2" xfId="2"/>
    <xf numFmtId="9" fontId="2" fillId="3" borderId="2" xfId="2" applyNumberFormat="1"/>
    <xf numFmtId="0" fontId="3" fillId="4" borderId="2" xfId="3"/>
    <xf numFmtId="9" fontId="3" fillId="4" borderId="2" xfId="3" applyNumberFormat="1"/>
  </cellXfs>
  <cellStyles count="4">
    <cellStyle name="Calculation" xfId="3" builtinId="22"/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W373"/>
  <sheetViews>
    <sheetView workbookViewId="0">
      <selection activeCell="V21" sqref="V21"/>
    </sheetView>
  </sheetViews>
  <sheetFormatPr defaultRowHeight="15" x14ac:dyDescent="0.25"/>
  <cols>
    <col min="1" max="1" width="7.85546875" bestFit="1" customWidth="1"/>
    <col min="2" max="2" width="11.140625" bestFit="1" customWidth="1"/>
    <col min="3" max="4" width="10.7109375" bestFit="1" customWidth="1"/>
    <col min="5" max="5" width="9.7109375" bestFit="1" customWidth="1"/>
    <col min="6" max="6" width="11.42578125" bestFit="1" customWidth="1"/>
    <col min="7" max="7" width="12.140625" bestFit="1" customWidth="1"/>
    <col min="8" max="8" width="15.140625" bestFit="1" customWidth="1"/>
    <col min="9" max="9" width="15.28515625" bestFit="1" customWidth="1"/>
    <col min="10" max="10" width="12.7109375" bestFit="1" customWidth="1"/>
    <col min="11" max="11" width="7" bestFit="1" customWidth="1"/>
    <col min="12" max="12" width="9.140625" bestFit="1" customWidth="1"/>
    <col min="14" max="14" width="10" bestFit="1" customWidth="1"/>
    <col min="17" max="17" width="18.28515625" customWidth="1"/>
    <col min="18" max="18" width="12.140625" customWidth="1"/>
    <col min="21" max="21" width="16.28515625" customWidth="1"/>
    <col min="22" max="22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3" x14ac:dyDescent="0.2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23" x14ac:dyDescent="0.2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</row>
    <row r="4" spans="1:23" x14ac:dyDescent="0.2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</row>
    <row r="5" spans="1:23" x14ac:dyDescent="0.2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</row>
    <row r="6" spans="1:23" x14ac:dyDescent="0.2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</row>
    <row r="7" spans="1:23" x14ac:dyDescent="0.2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</row>
    <row r="8" spans="1:23" x14ac:dyDescent="0.2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U8" t="s">
        <v>69</v>
      </c>
      <c r="V8" t="s">
        <v>70</v>
      </c>
      <c r="W8" t="s">
        <v>71</v>
      </c>
    </row>
    <row r="9" spans="1:23" x14ac:dyDescent="0.2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U9" t="s">
        <v>18</v>
      </c>
      <c r="V9" t="s">
        <v>20</v>
      </c>
      <c r="W9">
        <f>SUMIFS(L2:L373, I2:I373, U9, K2:K373, V9)</f>
        <v>39</v>
      </c>
    </row>
    <row r="10" spans="1:23" x14ac:dyDescent="0.2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</row>
    <row r="11" spans="1:23" x14ac:dyDescent="0.2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</row>
    <row r="12" spans="1:23" x14ac:dyDescent="0.2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U12" t="s">
        <v>72</v>
      </c>
      <c r="V12">
        <f>AVERAGE(M2:M373)</f>
        <v>2001.1641935483883</v>
      </c>
    </row>
    <row r="13" spans="1:23" x14ac:dyDescent="0.2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U13" t="s">
        <v>44</v>
      </c>
      <c r="V13">
        <f>AVERAGEIF(K2:K373,U13,M2:M373)</f>
        <v>1859.1251898734179</v>
      </c>
    </row>
    <row r="14" spans="1:23" x14ac:dyDescent="0.2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U14" t="s">
        <v>20</v>
      </c>
      <c r="V14">
        <f>AVERAGEIF(K2:K373,U14,M2:M373)</f>
        <v>2036.1770666666666</v>
      </c>
    </row>
    <row r="15" spans="1:23" x14ac:dyDescent="0.2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</row>
    <row r="16" spans="1:23" x14ac:dyDescent="0.2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U16" t="s">
        <v>69</v>
      </c>
      <c r="V16" t="s">
        <v>70</v>
      </c>
      <c r="W16" t="s">
        <v>71</v>
      </c>
    </row>
    <row r="17" spans="1:23" x14ac:dyDescent="0.2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U17" t="s">
        <v>18</v>
      </c>
      <c r="V17" t="s">
        <v>20</v>
      </c>
      <c r="W17">
        <f>AVERAGEIFS(M2:M373,I2:I373,U17,K2:K373,V17)</f>
        <v>2440.7983333333336</v>
      </c>
    </row>
    <row r="18" spans="1:23" x14ac:dyDescent="0.2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</row>
    <row r="19" spans="1:23" x14ac:dyDescent="0.2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</row>
    <row r="20" spans="1:23" x14ac:dyDescent="0.2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U20" t="s">
        <v>73</v>
      </c>
      <c r="V20">
        <f>COUNTIF(K2:K373,V17)</f>
        <v>75</v>
      </c>
    </row>
    <row r="21" spans="1:23" x14ac:dyDescent="0.2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</row>
    <row r="22" spans="1:23" x14ac:dyDescent="0.2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</row>
    <row r="23" spans="1:23" x14ac:dyDescent="0.2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</row>
    <row r="24" spans="1:23" x14ac:dyDescent="0.2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</row>
    <row r="25" spans="1:23" x14ac:dyDescent="0.2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</row>
    <row r="26" spans="1:23" x14ac:dyDescent="0.2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</row>
    <row r="27" spans="1:23" x14ac:dyDescent="0.2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</row>
    <row r="28" spans="1:23" x14ac:dyDescent="0.2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</row>
    <row r="29" spans="1:23" x14ac:dyDescent="0.2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</row>
    <row r="30" spans="1:23" x14ac:dyDescent="0.2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</row>
    <row r="31" spans="1:23" x14ac:dyDescent="0.2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</row>
    <row r="32" spans="1:23" x14ac:dyDescent="0.2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</row>
    <row r="33" spans="1:14" x14ac:dyDescent="0.2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</row>
    <row r="34" spans="1:14" x14ac:dyDescent="0.2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</row>
    <row r="35" spans="1:14" x14ac:dyDescent="0.2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</row>
    <row r="36" spans="1:14" x14ac:dyDescent="0.2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</row>
    <row r="37" spans="1:14" x14ac:dyDescent="0.2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</row>
    <row r="38" spans="1:14" x14ac:dyDescent="0.2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</row>
    <row r="39" spans="1:14" x14ac:dyDescent="0.2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</row>
    <row r="40" spans="1:14" x14ac:dyDescent="0.2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</row>
    <row r="41" spans="1:14" x14ac:dyDescent="0.2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</row>
    <row r="42" spans="1:14" x14ac:dyDescent="0.2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</row>
    <row r="43" spans="1:14" x14ac:dyDescent="0.2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</row>
    <row r="44" spans="1:14" x14ac:dyDescent="0.2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</row>
    <row r="45" spans="1:14" x14ac:dyDescent="0.2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</row>
    <row r="46" spans="1:14" x14ac:dyDescent="0.2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</row>
    <row r="47" spans="1:14" x14ac:dyDescent="0.2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</row>
    <row r="48" spans="1:14" x14ac:dyDescent="0.2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</row>
    <row r="49" spans="1:14" x14ac:dyDescent="0.2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</row>
    <row r="50" spans="1:14" x14ac:dyDescent="0.2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</row>
    <row r="51" spans="1:14" x14ac:dyDescent="0.2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</row>
    <row r="52" spans="1:14" x14ac:dyDescent="0.2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</row>
    <row r="53" spans="1:14" x14ac:dyDescent="0.2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</row>
    <row r="54" spans="1:14" x14ac:dyDescent="0.2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</row>
    <row r="55" spans="1:14" x14ac:dyDescent="0.2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</row>
    <row r="56" spans="1:14" x14ac:dyDescent="0.2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</row>
    <row r="57" spans="1:14" x14ac:dyDescent="0.2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</row>
    <row r="58" spans="1:14" x14ac:dyDescent="0.2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</row>
    <row r="59" spans="1:14" x14ac:dyDescent="0.2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</row>
    <row r="60" spans="1:14" x14ac:dyDescent="0.2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</row>
    <row r="61" spans="1:14" x14ac:dyDescent="0.2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</row>
    <row r="62" spans="1:14" x14ac:dyDescent="0.2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</row>
    <row r="63" spans="1:14" x14ac:dyDescent="0.2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</row>
    <row r="64" spans="1:14" x14ac:dyDescent="0.2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</row>
    <row r="65" spans="1:14" x14ac:dyDescent="0.2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</row>
    <row r="66" spans="1:14" x14ac:dyDescent="0.2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</row>
    <row r="67" spans="1:14" x14ac:dyDescent="0.2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</row>
    <row r="68" spans="1:14" x14ac:dyDescent="0.2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</row>
    <row r="69" spans="1:14" x14ac:dyDescent="0.2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</row>
    <row r="70" spans="1:14" x14ac:dyDescent="0.2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</row>
    <row r="71" spans="1:14" x14ac:dyDescent="0.2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</row>
    <row r="72" spans="1:14" x14ac:dyDescent="0.2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</row>
    <row r="73" spans="1:14" x14ac:dyDescent="0.2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</row>
    <row r="74" spans="1:14" x14ac:dyDescent="0.2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</row>
    <row r="75" spans="1:14" x14ac:dyDescent="0.2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</row>
    <row r="76" spans="1:14" x14ac:dyDescent="0.2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</row>
    <row r="77" spans="1:14" x14ac:dyDescent="0.2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</row>
    <row r="78" spans="1:14" x14ac:dyDescent="0.2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</row>
    <row r="79" spans="1:14" x14ac:dyDescent="0.2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</row>
    <row r="80" spans="1:14" x14ac:dyDescent="0.2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</row>
    <row r="81" spans="1:14" x14ac:dyDescent="0.2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</row>
    <row r="82" spans="1:14" x14ac:dyDescent="0.2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</row>
    <row r="83" spans="1:14" x14ac:dyDescent="0.2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</row>
    <row r="84" spans="1:14" x14ac:dyDescent="0.2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</row>
    <row r="85" spans="1:14" x14ac:dyDescent="0.2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</row>
    <row r="86" spans="1:14" x14ac:dyDescent="0.2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</row>
    <row r="87" spans="1:14" x14ac:dyDescent="0.2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</row>
    <row r="88" spans="1:14" x14ac:dyDescent="0.2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</row>
    <row r="89" spans="1:14" x14ac:dyDescent="0.2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</row>
    <row r="90" spans="1:14" x14ac:dyDescent="0.2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</row>
    <row r="91" spans="1:14" x14ac:dyDescent="0.2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</row>
    <row r="92" spans="1:14" x14ac:dyDescent="0.2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</row>
    <row r="93" spans="1:14" x14ac:dyDescent="0.2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</row>
    <row r="94" spans="1:14" x14ac:dyDescent="0.2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</row>
    <row r="95" spans="1:14" x14ac:dyDescent="0.2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</row>
    <row r="96" spans="1:14" x14ac:dyDescent="0.2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</row>
    <row r="97" spans="1:14" x14ac:dyDescent="0.2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</row>
    <row r="98" spans="1:14" x14ac:dyDescent="0.2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</row>
    <row r="99" spans="1:14" x14ac:dyDescent="0.2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</row>
    <row r="100" spans="1:14" x14ac:dyDescent="0.2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</row>
    <row r="101" spans="1:14" x14ac:dyDescent="0.2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</row>
    <row r="102" spans="1:14" x14ac:dyDescent="0.2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</row>
    <row r="103" spans="1:14" x14ac:dyDescent="0.2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</row>
    <row r="104" spans="1:14" x14ac:dyDescent="0.2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</row>
    <row r="105" spans="1:14" x14ac:dyDescent="0.2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</row>
    <row r="106" spans="1:14" x14ac:dyDescent="0.2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</row>
    <row r="107" spans="1:14" x14ac:dyDescent="0.2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</row>
    <row r="108" spans="1:14" x14ac:dyDescent="0.2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</row>
    <row r="109" spans="1:14" x14ac:dyDescent="0.2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</row>
    <row r="110" spans="1:14" x14ac:dyDescent="0.2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</row>
    <row r="111" spans="1:14" x14ac:dyDescent="0.2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</row>
    <row r="112" spans="1:14" x14ac:dyDescent="0.2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</row>
    <row r="113" spans="1:14" x14ac:dyDescent="0.2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</row>
    <row r="114" spans="1:14" x14ac:dyDescent="0.2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</row>
    <row r="115" spans="1:14" x14ac:dyDescent="0.2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</row>
    <row r="116" spans="1:14" x14ac:dyDescent="0.2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</row>
    <row r="117" spans="1:14" x14ac:dyDescent="0.2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</row>
    <row r="118" spans="1:14" x14ac:dyDescent="0.2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</row>
    <row r="119" spans="1:14" x14ac:dyDescent="0.2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</row>
    <row r="120" spans="1:14" x14ac:dyDescent="0.2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</row>
    <row r="121" spans="1:14" x14ac:dyDescent="0.2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</row>
    <row r="122" spans="1:14" x14ac:dyDescent="0.2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</row>
    <row r="123" spans="1:14" x14ac:dyDescent="0.2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</row>
    <row r="124" spans="1:14" x14ac:dyDescent="0.2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</row>
    <row r="125" spans="1:14" x14ac:dyDescent="0.2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</row>
    <row r="126" spans="1:14" x14ac:dyDescent="0.2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</row>
    <row r="127" spans="1:14" x14ac:dyDescent="0.2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</row>
    <row r="128" spans="1:14" x14ac:dyDescent="0.2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</row>
    <row r="129" spans="1:14" x14ac:dyDescent="0.2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</row>
    <row r="130" spans="1:14" x14ac:dyDescent="0.2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</row>
    <row r="131" spans="1:14" x14ac:dyDescent="0.2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</row>
    <row r="132" spans="1:14" x14ac:dyDescent="0.2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</row>
    <row r="133" spans="1:14" x14ac:dyDescent="0.2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</row>
    <row r="134" spans="1:14" x14ac:dyDescent="0.2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</row>
    <row r="135" spans="1:14" x14ac:dyDescent="0.2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</row>
    <row r="136" spans="1:14" x14ac:dyDescent="0.2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</row>
    <row r="137" spans="1:14" x14ac:dyDescent="0.2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</row>
    <row r="138" spans="1:14" x14ac:dyDescent="0.2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</row>
    <row r="139" spans="1:14" x14ac:dyDescent="0.2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</row>
    <row r="140" spans="1:14" x14ac:dyDescent="0.2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</row>
    <row r="141" spans="1:14" x14ac:dyDescent="0.2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</row>
    <row r="142" spans="1:14" x14ac:dyDescent="0.2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</row>
    <row r="143" spans="1:14" x14ac:dyDescent="0.2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</row>
    <row r="144" spans="1:14" x14ac:dyDescent="0.2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</row>
    <row r="145" spans="1:14" x14ac:dyDescent="0.2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</row>
    <row r="146" spans="1:14" x14ac:dyDescent="0.2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</row>
    <row r="147" spans="1:14" x14ac:dyDescent="0.2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</row>
    <row r="148" spans="1:14" x14ac:dyDescent="0.2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</row>
    <row r="149" spans="1:14" x14ac:dyDescent="0.2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</row>
    <row r="150" spans="1:14" x14ac:dyDescent="0.2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</row>
    <row r="151" spans="1:14" x14ac:dyDescent="0.2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</row>
    <row r="152" spans="1:14" x14ac:dyDescent="0.2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</row>
    <row r="153" spans="1:14" x14ac:dyDescent="0.2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</row>
    <row r="154" spans="1:14" x14ac:dyDescent="0.2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</row>
    <row r="155" spans="1:14" x14ac:dyDescent="0.2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</row>
    <row r="156" spans="1:14" x14ac:dyDescent="0.2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</row>
    <row r="157" spans="1:14" x14ac:dyDescent="0.2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</row>
    <row r="158" spans="1:14" x14ac:dyDescent="0.2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</row>
    <row r="159" spans="1:14" x14ac:dyDescent="0.2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</row>
    <row r="160" spans="1:14" x14ac:dyDescent="0.2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</row>
    <row r="161" spans="1:14" x14ac:dyDescent="0.2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</row>
    <row r="162" spans="1:14" x14ac:dyDescent="0.2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</row>
    <row r="163" spans="1:14" x14ac:dyDescent="0.2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</row>
    <row r="164" spans="1:14" x14ac:dyDescent="0.2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</row>
    <row r="165" spans="1:14" x14ac:dyDescent="0.2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</row>
    <row r="166" spans="1:14" x14ac:dyDescent="0.2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</row>
    <row r="167" spans="1:14" x14ac:dyDescent="0.2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</row>
    <row r="168" spans="1:14" x14ac:dyDescent="0.2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</row>
    <row r="169" spans="1:14" x14ac:dyDescent="0.2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</row>
    <row r="170" spans="1:14" x14ac:dyDescent="0.2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</row>
    <row r="171" spans="1:14" x14ac:dyDescent="0.2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</row>
    <row r="172" spans="1:14" x14ac:dyDescent="0.2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</row>
    <row r="173" spans="1:14" x14ac:dyDescent="0.2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</row>
    <row r="174" spans="1:14" x14ac:dyDescent="0.2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</row>
    <row r="175" spans="1:14" x14ac:dyDescent="0.2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</row>
    <row r="176" spans="1:14" x14ac:dyDescent="0.2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</row>
    <row r="177" spans="1:14" x14ac:dyDescent="0.2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</row>
    <row r="178" spans="1:14" x14ac:dyDescent="0.2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</row>
    <row r="179" spans="1:14" x14ac:dyDescent="0.2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</row>
    <row r="180" spans="1:14" x14ac:dyDescent="0.2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</row>
    <row r="181" spans="1:14" x14ac:dyDescent="0.2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</row>
    <row r="182" spans="1:14" x14ac:dyDescent="0.2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</row>
    <row r="183" spans="1:14" x14ac:dyDescent="0.2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</row>
    <row r="184" spans="1:14" x14ac:dyDescent="0.2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</row>
    <row r="185" spans="1:14" x14ac:dyDescent="0.2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</row>
    <row r="186" spans="1:14" x14ac:dyDescent="0.2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</row>
    <row r="187" spans="1:14" x14ac:dyDescent="0.2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</row>
    <row r="188" spans="1:14" x14ac:dyDescent="0.2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</row>
    <row r="189" spans="1:14" x14ac:dyDescent="0.2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</row>
    <row r="190" spans="1:14" x14ac:dyDescent="0.2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</row>
    <row r="191" spans="1:14" x14ac:dyDescent="0.2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</row>
    <row r="192" spans="1:14" x14ac:dyDescent="0.2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</row>
    <row r="193" spans="1:14" x14ac:dyDescent="0.2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</row>
    <row r="194" spans="1:14" x14ac:dyDescent="0.2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</row>
    <row r="195" spans="1:14" x14ac:dyDescent="0.2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</row>
    <row r="196" spans="1:14" x14ac:dyDescent="0.2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</row>
    <row r="197" spans="1:14" x14ac:dyDescent="0.2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</row>
    <row r="198" spans="1:14" x14ac:dyDescent="0.2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</row>
    <row r="199" spans="1:14" x14ac:dyDescent="0.2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</row>
    <row r="200" spans="1:14" x14ac:dyDescent="0.2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</row>
    <row r="201" spans="1:14" x14ac:dyDescent="0.2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</row>
    <row r="202" spans="1:14" x14ac:dyDescent="0.2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</row>
    <row r="203" spans="1:14" x14ac:dyDescent="0.2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</row>
    <row r="204" spans="1:14" x14ac:dyDescent="0.2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</row>
    <row r="205" spans="1:14" x14ac:dyDescent="0.2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</row>
    <row r="206" spans="1:14" x14ac:dyDescent="0.2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</row>
    <row r="207" spans="1:14" x14ac:dyDescent="0.2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</row>
    <row r="208" spans="1:14" x14ac:dyDescent="0.2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</row>
    <row r="209" spans="1:14" x14ac:dyDescent="0.2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</row>
    <row r="210" spans="1:14" x14ac:dyDescent="0.2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</row>
    <row r="211" spans="1:14" x14ac:dyDescent="0.2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</row>
    <row r="212" spans="1:14" x14ac:dyDescent="0.2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</row>
    <row r="213" spans="1:14" x14ac:dyDescent="0.2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</row>
    <row r="214" spans="1:14" x14ac:dyDescent="0.2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</row>
    <row r="215" spans="1:14" x14ac:dyDescent="0.2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</row>
    <row r="216" spans="1:14" x14ac:dyDescent="0.2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</row>
    <row r="217" spans="1:14" x14ac:dyDescent="0.2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</row>
    <row r="218" spans="1:14" x14ac:dyDescent="0.2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</row>
    <row r="219" spans="1:14" x14ac:dyDescent="0.2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</row>
    <row r="220" spans="1:14" x14ac:dyDescent="0.2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</row>
    <row r="221" spans="1:14" x14ac:dyDescent="0.2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</row>
    <row r="222" spans="1:14" x14ac:dyDescent="0.2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</row>
    <row r="223" spans="1:14" x14ac:dyDescent="0.2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</row>
    <row r="224" spans="1:14" x14ac:dyDescent="0.2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</row>
    <row r="225" spans="1:14" x14ac:dyDescent="0.2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</row>
    <row r="226" spans="1:14" x14ac:dyDescent="0.2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</row>
    <row r="227" spans="1:14" x14ac:dyDescent="0.2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</row>
    <row r="228" spans="1:14" x14ac:dyDescent="0.2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</row>
    <row r="229" spans="1:14" x14ac:dyDescent="0.2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</row>
    <row r="230" spans="1:14" x14ac:dyDescent="0.2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</row>
    <row r="231" spans="1:14" x14ac:dyDescent="0.2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</row>
    <row r="232" spans="1:14" x14ac:dyDescent="0.2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</row>
    <row r="233" spans="1:14" x14ac:dyDescent="0.2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</row>
    <row r="234" spans="1:14" x14ac:dyDescent="0.2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</row>
    <row r="235" spans="1:14" x14ac:dyDescent="0.2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</row>
    <row r="236" spans="1:14" x14ac:dyDescent="0.2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</row>
    <row r="237" spans="1:14" x14ac:dyDescent="0.2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</row>
    <row r="238" spans="1:14" x14ac:dyDescent="0.2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</row>
    <row r="239" spans="1:14" x14ac:dyDescent="0.2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</row>
    <row r="240" spans="1:14" x14ac:dyDescent="0.2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</row>
    <row r="241" spans="1:14" x14ac:dyDescent="0.2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</row>
    <row r="242" spans="1:14" x14ac:dyDescent="0.2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</row>
    <row r="243" spans="1:14" x14ac:dyDescent="0.2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</row>
    <row r="244" spans="1:14" x14ac:dyDescent="0.2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</row>
    <row r="245" spans="1:14" x14ac:dyDescent="0.2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</row>
    <row r="246" spans="1:14" x14ac:dyDescent="0.2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</row>
    <row r="247" spans="1:14" x14ac:dyDescent="0.2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</row>
    <row r="248" spans="1:14" x14ac:dyDescent="0.2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</row>
    <row r="249" spans="1:14" x14ac:dyDescent="0.2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</row>
    <row r="250" spans="1:14" x14ac:dyDescent="0.2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</row>
    <row r="251" spans="1:14" x14ac:dyDescent="0.2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</row>
    <row r="252" spans="1:14" x14ac:dyDescent="0.2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</row>
    <row r="253" spans="1:14" x14ac:dyDescent="0.2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</row>
    <row r="254" spans="1:14" x14ac:dyDescent="0.2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</row>
    <row r="255" spans="1:14" x14ac:dyDescent="0.2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</row>
    <row r="256" spans="1:14" x14ac:dyDescent="0.2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</row>
    <row r="257" spans="1:14" x14ac:dyDescent="0.2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</row>
    <row r="258" spans="1:14" x14ac:dyDescent="0.2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</row>
    <row r="259" spans="1:14" x14ac:dyDescent="0.2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</row>
    <row r="260" spans="1:14" x14ac:dyDescent="0.2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</row>
    <row r="261" spans="1:14" x14ac:dyDescent="0.2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</row>
    <row r="262" spans="1:14" x14ac:dyDescent="0.2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</row>
    <row r="263" spans="1:14" x14ac:dyDescent="0.2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</row>
    <row r="264" spans="1:14" x14ac:dyDescent="0.2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</row>
    <row r="265" spans="1:14" x14ac:dyDescent="0.2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</row>
    <row r="266" spans="1:14" x14ac:dyDescent="0.2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</row>
    <row r="267" spans="1:14" x14ac:dyDescent="0.2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</row>
    <row r="268" spans="1:14" x14ac:dyDescent="0.2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</row>
    <row r="269" spans="1:14" x14ac:dyDescent="0.2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</row>
    <row r="270" spans="1:14" x14ac:dyDescent="0.2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</row>
    <row r="271" spans="1:14" x14ac:dyDescent="0.2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</row>
    <row r="272" spans="1:14" x14ac:dyDescent="0.2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</row>
    <row r="273" spans="1:14" x14ac:dyDescent="0.2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</row>
    <row r="274" spans="1:14" x14ac:dyDescent="0.2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</row>
    <row r="275" spans="1:14" x14ac:dyDescent="0.2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</row>
    <row r="276" spans="1:14" x14ac:dyDescent="0.2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</row>
    <row r="277" spans="1:14" x14ac:dyDescent="0.2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</row>
    <row r="278" spans="1:14" x14ac:dyDescent="0.2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</row>
    <row r="279" spans="1:14" x14ac:dyDescent="0.2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</row>
    <row r="280" spans="1:14" x14ac:dyDescent="0.2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</row>
    <row r="281" spans="1:14" x14ac:dyDescent="0.2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</row>
    <row r="282" spans="1:14" x14ac:dyDescent="0.2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</row>
    <row r="283" spans="1:14" x14ac:dyDescent="0.2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</row>
    <row r="284" spans="1:14" x14ac:dyDescent="0.2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</row>
    <row r="285" spans="1:14" x14ac:dyDescent="0.2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</row>
    <row r="286" spans="1:14" x14ac:dyDescent="0.2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</row>
    <row r="287" spans="1:14" x14ac:dyDescent="0.2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</row>
    <row r="288" spans="1:14" x14ac:dyDescent="0.2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</row>
    <row r="289" spans="1:14" x14ac:dyDescent="0.2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</row>
    <row r="290" spans="1:14" x14ac:dyDescent="0.2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</row>
    <row r="291" spans="1:14" x14ac:dyDescent="0.2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</row>
    <row r="292" spans="1:14" x14ac:dyDescent="0.2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</row>
    <row r="293" spans="1:14" x14ac:dyDescent="0.2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</row>
    <row r="294" spans="1:14" x14ac:dyDescent="0.2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</row>
    <row r="295" spans="1:14" x14ac:dyDescent="0.2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</row>
    <row r="296" spans="1:14" x14ac:dyDescent="0.2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</row>
    <row r="297" spans="1:14" x14ac:dyDescent="0.2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</row>
    <row r="298" spans="1:14" x14ac:dyDescent="0.2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</row>
    <row r="299" spans="1:14" x14ac:dyDescent="0.2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</row>
    <row r="300" spans="1:14" x14ac:dyDescent="0.2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</row>
    <row r="301" spans="1:14" x14ac:dyDescent="0.2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</row>
    <row r="302" spans="1:14" x14ac:dyDescent="0.2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</row>
    <row r="303" spans="1:14" x14ac:dyDescent="0.2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</row>
    <row r="304" spans="1:14" x14ac:dyDescent="0.2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</row>
    <row r="305" spans="1:14" x14ac:dyDescent="0.2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</row>
    <row r="306" spans="1:14" x14ac:dyDescent="0.2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</row>
    <row r="307" spans="1:14" x14ac:dyDescent="0.2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</row>
    <row r="308" spans="1:14" x14ac:dyDescent="0.2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</row>
    <row r="309" spans="1:14" x14ac:dyDescent="0.2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</row>
    <row r="310" spans="1:14" x14ac:dyDescent="0.2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</row>
    <row r="311" spans="1:14" x14ac:dyDescent="0.2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</row>
    <row r="312" spans="1:14" x14ac:dyDescent="0.2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</row>
    <row r="313" spans="1:14" x14ac:dyDescent="0.2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</row>
    <row r="314" spans="1:14" x14ac:dyDescent="0.2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</row>
    <row r="315" spans="1:14" x14ac:dyDescent="0.2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</row>
    <row r="316" spans="1:14" x14ac:dyDescent="0.2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</row>
    <row r="317" spans="1:14" x14ac:dyDescent="0.2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</row>
    <row r="318" spans="1:14" x14ac:dyDescent="0.2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</row>
    <row r="319" spans="1:14" x14ac:dyDescent="0.2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</row>
    <row r="320" spans="1:14" x14ac:dyDescent="0.2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</row>
    <row r="321" spans="1:14" x14ac:dyDescent="0.2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</row>
    <row r="322" spans="1:14" x14ac:dyDescent="0.2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</row>
    <row r="323" spans="1:14" x14ac:dyDescent="0.2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</row>
    <row r="324" spans="1:14" x14ac:dyDescent="0.2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</row>
    <row r="325" spans="1:14" x14ac:dyDescent="0.2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</row>
    <row r="326" spans="1:14" x14ac:dyDescent="0.2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</row>
    <row r="327" spans="1:14" x14ac:dyDescent="0.2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</row>
    <row r="328" spans="1:14" x14ac:dyDescent="0.2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</row>
    <row r="329" spans="1:14" x14ac:dyDescent="0.2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</row>
    <row r="330" spans="1:14" x14ac:dyDescent="0.2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</row>
    <row r="331" spans="1:14" x14ac:dyDescent="0.2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</row>
    <row r="332" spans="1:14" x14ac:dyDescent="0.2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</row>
    <row r="333" spans="1:14" x14ac:dyDescent="0.2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</row>
    <row r="334" spans="1:14" x14ac:dyDescent="0.2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</row>
    <row r="335" spans="1:14" x14ac:dyDescent="0.2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</row>
    <row r="336" spans="1:14" x14ac:dyDescent="0.2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</row>
    <row r="337" spans="1:14" x14ac:dyDescent="0.2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</row>
    <row r="338" spans="1:14" x14ac:dyDescent="0.2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</row>
    <row r="339" spans="1:14" x14ac:dyDescent="0.2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</row>
    <row r="340" spans="1:14" x14ac:dyDescent="0.2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</row>
    <row r="341" spans="1:14" x14ac:dyDescent="0.2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</row>
    <row r="342" spans="1:14" x14ac:dyDescent="0.2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</row>
    <row r="343" spans="1:14" x14ac:dyDescent="0.2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</row>
    <row r="344" spans="1:14" x14ac:dyDescent="0.2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</row>
    <row r="345" spans="1:14" x14ac:dyDescent="0.2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</row>
    <row r="346" spans="1:14" x14ac:dyDescent="0.2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</row>
    <row r="347" spans="1:14" x14ac:dyDescent="0.2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</row>
    <row r="348" spans="1:14" x14ac:dyDescent="0.2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</row>
    <row r="349" spans="1:14" x14ac:dyDescent="0.2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</row>
    <row r="350" spans="1:14" x14ac:dyDescent="0.2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</row>
    <row r="351" spans="1:14" x14ac:dyDescent="0.2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</row>
    <row r="352" spans="1:14" x14ac:dyDescent="0.2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</row>
    <row r="353" spans="1:14" x14ac:dyDescent="0.2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</row>
    <row r="354" spans="1:14" x14ac:dyDescent="0.2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</row>
    <row r="355" spans="1:14" x14ac:dyDescent="0.2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</row>
    <row r="356" spans="1:14" x14ac:dyDescent="0.2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</row>
    <row r="357" spans="1:14" x14ac:dyDescent="0.2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</row>
    <row r="358" spans="1:14" x14ac:dyDescent="0.2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</row>
    <row r="359" spans="1:14" x14ac:dyDescent="0.2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</row>
    <row r="360" spans="1:14" x14ac:dyDescent="0.2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</row>
    <row r="361" spans="1:14" x14ac:dyDescent="0.2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</row>
    <row r="362" spans="1:14" x14ac:dyDescent="0.2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</row>
    <row r="363" spans="1:14" x14ac:dyDescent="0.2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</row>
    <row r="364" spans="1:14" x14ac:dyDescent="0.2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</row>
    <row r="365" spans="1:14" x14ac:dyDescent="0.2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</row>
    <row r="366" spans="1:14" x14ac:dyDescent="0.2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</row>
    <row r="367" spans="1:14" x14ac:dyDescent="0.2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</row>
    <row r="368" spans="1:14" x14ac:dyDescent="0.2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</row>
    <row r="369" spans="1:14" x14ac:dyDescent="0.2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</row>
    <row r="370" spans="1:14" x14ac:dyDescent="0.2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</row>
    <row r="371" spans="1:14" x14ac:dyDescent="0.2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</row>
    <row r="372" spans="1:14" x14ac:dyDescent="0.2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</row>
    <row r="373" spans="1:14" x14ac:dyDescent="0.2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56EF-BB71-4EEB-AF98-E3054A56E428}">
  <dimension ref="A1:O7"/>
  <sheetViews>
    <sheetView tabSelected="1" workbookViewId="0">
      <selection activeCell="L12" sqref="L12"/>
    </sheetView>
  </sheetViews>
  <sheetFormatPr defaultRowHeight="15" x14ac:dyDescent="0.25"/>
  <cols>
    <col min="1" max="1" width="25" customWidth="1"/>
    <col min="2" max="2" width="22.140625" customWidth="1"/>
    <col min="3" max="3" width="13.7109375" customWidth="1"/>
    <col min="4" max="4" width="15.5703125" customWidth="1"/>
    <col min="5" max="5" width="12.42578125" customWidth="1"/>
    <col min="7" max="7" width="16.42578125" customWidth="1"/>
    <col min="8" max="9" width="15.5703125" style="6" customWidth="1"/>
    <col min="10" max="10" width="19.42578125" customWidth="1"/>
    <col min="12" max="12" width="17.28515625" customWidth="1"/>
    <col min="13" max="13" width="15.42578125" customWidth="1"/>
  </cols>
  <sheetData>
    <row r="1" spans="1:15" s="5" customFormat="1" ht="45" x14ac:dyDescent="0.25">
      <c r="A1" s="4" t="s">
        <v>74</v>
      </c>
      <c r="B1" s="4" t="s">
        <v>75</v>
      </c>
      <c r="C1" s="4" t="s">
        <v>76</v>
      </c>
      <c r="D1" s="4" t="s">
        <v>77</v>
      </c>
      <c r="E1" s="4" t="s">
        <v>78</v>
      </c>
      <c r="F1" s="7" t="s">
        <v>90</v>
      </c>
      <c r="G1" s="8" t="s">
        <v>89</v>
      </c>
      <c r="H1" s="9" t="s">
        <v>91</v>
      </c>
      <c r="I1" s="9" t="s">
        <v>92</v>
      </c>
      <c r="J1" s="8" t="s">
        <v>93</v>
      </c>
      <c r="K1" s="8" t="s">
        <v>94</v>
      </c>
      <c r="L1" s="8" t="s">
        <v>95</v>
      </c>
      <c r="M1" s="8" t="s">
        <v>96</v>
      </c>
      <c r="N1" s="8"/>
      <c r="O1" s="8"/>
    </row>
    <row r="2" spans="1:15" x14ac:dyDescent="0.25">
      <c r="A2" s="3">
        <v>101</v>
      </c>
      <c r="B2" s="3" t="s">
        <v>79</v>
      </c>
      <c r="C2" s="3">
        <v>120</v>
      </c>
      <c r="D2" s="3">
        <v>150</v>
      </c>
      <c r="E2" s="3" t="s">
        <v>81</v>
      </c>
      <c r="F2" s="10" t="str">
        <f t="shared" ref="F2:F7" si="0">IF(C2&gt;=D2,"TRUE","FALSE")</f>
        <v>FALSE</v>
      </c>
      <c r="G2" s="10" t="str">
        <f>IF(AND(C2&gt;200,E2="North"),"Eligible","not Eligible")</f>
        <v>not Eligible</v>
      </c>
      <c r="H2" s="11">
        <f>IF(C2&gt;=200,10%,IF(C2&gt;=150,7%,5%))</f>
        <v>0.05</v>
      </c>
      <c r="I2" s="11">
        <f>IF(F2="TRUE",10%,5%)</f>
        <v>0.05</v>
      </c>
      <c r="J2" s="10" t="str">
        <f>IF(C2&gt;=200,"excellent",IF(C2&gt;=150,"good","needs improvement"))</f>
        <v>needs improvement</v>
      </c>
      <c r="K2" s="10" t="str">
        <f>IF(C2&gt;200,"High",IF(AND(C2&gt;100,C2&lt;=200 ),"medium","low"))</f>
        <v>medium</v>
      </c>
      <c r="L2" s="10">
        <f>IF(AND(D2&gt;=500,E2="North"),500,300)</f>
        <v>300</v>
      </c>
      <c r="M2" s="10" t="str">
        <f>IF(C2&gt;=PERCENTILE($C$2:$C$7,0.75),"High Performer","Low Performer")</f>
        <v>Low Performer</v>
      </c>
      <c r="N2" s="8"/>
      <c r="O2" s="8"/>
    </row>
    <row r="3" spans="1:15" x14ac:dyDescent="0.25">
      <c r="A3" s="3">
        <v>102</v>
      </c>
      <c r="B3" s="3" t="s">
        <v>80</v>
      </c>
      <c r="C3" s="3">
        <v>150</v>
      </c>
      <c r="D3" s="3">
        <v>140</v>
      </c>
      <c r="E3" s="3" t="s">
        <v>82</v>
      </c>
      <c r="F3" s="10" t="str">
        <f t="shared" si="0"/>
        <v>TRUE</v>
      </c>
      <c r="G3" s="10" t="str">
        <f t="shared" ref="G3:G7" si="1">IF(AND(C3&gt;200,E3="North"),"Eligible","not Eligible")</f>
        <v>not Eligible</v>
      </c>
      <c r="H3" s="11">
        <f>IF(C3&gt;=200,10%,IF(C3&gt;=150,7%,5%))</f>
        <v>7.0000000000000007E-2</v>
      </c>
      <c r="I3" s="11">
        <f t="shared" ref="I3:I7" si="2">IF(F3="TRUE",10%,5%)</f>
        <v>0.1</v>
      </c>
      <c r="J3" s="10" t="str">
        <f t="shared" ref="J3:J7" si="3">IF(C3&gt;=200,"excellent",IF(C3&gt;=150,"good","needs improvement"))</f>
        <v>good</v>
      </c>
      <c r="K3" s="10" t="str">
        <f t="shared" ref="K3:K7" si="4">IF(C3&gt;200,"High",IF(AND(C3&gt;100,C3&lt;=200 ),"medium","low"))</f>
        <v>medium</v>
      </c>
      <c r="L3" s="10">
        <f t="shared" ref="L3:L7" si="5">IF(AND(D3&gt;=500,E3="North"),500,300)</f>
        <v>300</v>
      </c>
      <c r="M3" s="10" t="str">
        <f t="shared" ref="M3:M7" si="6">IF(C3&gt;=PERCENTILE($C$2:$C$7,0.75),"High Performer","Low Performer")</f>
        <v>Low Performer</v>
      </c>
      <c r="N3" s="8"/>
      <c r="O3" s="8"/>
    </row>
    <row r="4" spans="1:15" x14ac:dyDescent="0.25">
      <c r="A4" s="3">
        <v>103</v>
      </c>
      <c r="B4" s="3" t="s">
        <v>83</v>
      </c>
      <c r="C4" s="3">
        <v>200</v>
      </c>
      <c r="D4" s="3">
        <v>200</v>
      </c>
      <c r="E4" s="3" t="s">
        <v>84</v>
      </c>
      <c r="F4" s="10" t="str">
        <f t="shared" si="0"/>
        <v>TRUE</v>
      </c>
      <c r="G4" s="10" t="str">
        <f t="shared" si="1"/>
        <v>not Eligible</v>
      </c>
      <c r="H4" s="11">
        <f>IF(C4&gt;=200,10%,IF(C4&gt;=150,7%,5%))</f>
        <v>0.1</v>
      </c>
      <c r="I4" s="11">
        <f t="shared" si="2"/>
        <v>0.1</v>
      </c>
      <c r="J4" s="10" t="str">
        <f t="shared" si="3"/>
        <v>excellent</v>
      </c>
      <c r="K4" s="10" t="str">
        <f t="shared" si="4"/>
        <v>medium</v>
      </c>
      <c r="L4" s="10">
        <f t="shared" si="5"/>
        <v>300</v>
      </c>
      <c r="M4" s="10" t="str">
        <f t="shared" si="6"/>
        <v>High Performer</v>
      </c>
      <c r="N4" s="8"/>
      <c r="O4" s="8"/>
    </row>
    <row r="5" spans="1:15" x14ac:dyDescent="0.25">
      <c r="A5" s="3">
        <v>104</v>
      </c>
      <c r="B5" s="3" t="s">
        <v>85</v>
      </c>
      <c r="C5" s="3">
        <v>90</v>
      </c>
      <c r="D5" s="3">
        <v>100</v>
      </c>
      <c r="E5" s="3" t="s">
        <v>86</v>
      </c>
      <c r="F5" s="10" t="str">
        <f t="shared" si="0"/>
        <v>FALSE</v>
      </c>
      <c r="G5" s="10" t="str">
        <f t="shared" si="1"/>
        <v>not Eligible</v>
      </c>
      <c r="H5" s="11">
        <f>IF(C5&gt;=200,10%,IF(C5&gt;=150,7%,5%))</f>
        <v>0.05</v>
      </c>
      <c r="I5" s="11">
        <f t="shared" si="2"/>
        <v>0.05</v>
      </c>
      <c r="J5" s="10" t="str">
        <f t="shared" si="3"/>
        <v>needs improvement</v>
      </c>
      <c r="K5" s="10" t="str">
        <f t="shared" si="4"/>
        <v>low</v>
      </c>
      <c r="L5" s="10">
        <f t="shared" si="5"/>
        <v>300</v>
      </c>
      <c r="M5" s="10" t="str">
        <f t="shared" si="6"/>
        <v>Low Performer</v>
      </c>
      <c r="N5" s="8"/>
      <c r="O5" s="8"/>
    </row>
    <row r="6" spans="1:15" x14ac:dyDescent="0.25">
      <c r="A6" s="3">
        <v>105</v>
      </c>
      <c r="B6" s="3" t="s">
        <v>87</v>
      </c>
      <c r="C6" s="3">
        <v>220</v>
      </c>
      <c r="D6" s="3">
        <v>210</v>
      </c>
      <c r="E6" s="3" t="s">
        <v>81</v>
      </c>
      <c r="F6" s="10" t="str">
        <f t="shared" si="0"/>
        <v>TRUE</v>
      </c>
      <c r="G6" s="10" t="str">
        <f t="shared" si="1"/>
        <v>Eligible</v>
      </c>
      <c r="H6" s="11">
        <f>IF(C6&gt;=200,10%,IF(C6&gt;=150,7%,5%))</f>
        <v>0.1</v>
      </c>
      <c r="I6" s="11">
        <f t="shared" si="2"/>
        <v>0.1</v>
      </c>
      <c r="J6" s="10" t="str">
        <f t="shared" si="3"/>
        <v>excellent</v>
      </c>
      <c r="K6" s="10" t="str">
        <f t="shared" si="4"/>
        <v>High</v>
      </c>
      <c r="L6" s="10">
        <f t="shared" si="5"/>
        <v>300</v>
      </c>
      <c r="M6" s="10" t="str">
        <f t="shared" si="6"/>
        <v>High Performer</v>
      </c>
      <c r="N6" s="8"/>
      <c r="O6" s="8"/>
    </row>
    <row r="7" spans="1:15" x14ac:dyDescent="0.25">
      <c r="A7" s="3">
        <v>106</v>
      </c>
      <c r="B7" s="3" t="s">
        <v>88</v>
      </c>
      <c r="C7" s="3">
        <v>130</v>
      </c>
      <c r="D7" s="3">
        <v>160</v>
      </c>
      <c r="E7" s="3" t="s">
        <v>82</v>
      </c>
      <c r="F7" s="10" t="str">
        <f t="shared" si="0"/>
        <v>FALSE</v>
      </c>
      <c r="G7" s="10" t="str">
        <f t="shared" si="1"/>
        <v>not Eligible</v>
      </c>
      <c r="H7" s="11">
        <f>IF(C7&gt;=200,10%,IF(C7&gt;=150,7%,5%))</f>
        <v>0.05</v>
      </c>
      <c r="I7" s="11">
        <f t="shared" si="2"/>
        <v>0.05</v>
      </c>
      <c r="J7" s="10" t="str">
        <f t="shared" si="3"/>
        <v>needs improvement</v>
      </c>
      <c r="K7" s="10" t="str">
        <f t="shared" si="4"/>
        <v>medium</v>
      </c>
      <c r="L7" s="10">
        <f t="shared" si="5"/>
        <v>300</v>
      </c>
      <c r="M7" s="10" t="str">
        <f t="shared" si="6"/>
        <v>Low Performer</v>
      </c>
      <c r="N7" s="8"/>
      <c r="O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adway rakshit</cp:lastModifiedBy>
  <dcterms:created xsi:type="dcterms:W3CDTF">2025-12-08T11:58:47Z</dcterms:created>
  <dcterms:modified xsi:type="dcterms:W3CDTF">2026-02-24T11:44:28Z</dcterms:modified>
</cp:coreProperties>
</file>