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WAY\OneDrive\Documents\anudip\"/>
    </mc:Choice>
  </mc:AlternateContent>
  <xr:revisionPtr revIDLastSave="0" documentId="8_{2B727317-FE6C-439A-9048-587FF0A45206}" xr6:coauthVersionLast="47" xr6:coauthVersionMax="47" xr10:uidLastSave="{00000000-0000-0000-0000-000000000000}"/>
  <bookViews>
    <workbookView xWindow="-15" yWindow="16080" windowWidth="29040" windowHeight="15720" xr2:uid="{750E5099-A495-4EFF-8B2F-628FA4D42D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0" i="1" l="1"/>
  <c r="K3" i="1"/>
  <c r="K4" i="1"/>
  <c r="K5" i="1"/>
  <c r="K6" i="1"/>
  <c r="K7" i="1"/>
  <c r="K8" i="1"/>
  <c r="K9" i="1"/>
  <c r="K2" i="1"/>
  <c r="J5" i="1"/>
  <c r="G5" i="1"/>
  <c r="H5" i="1" s="1"/>
  <c r="I5" i="1" s="1"/>
  <c r="G6" i="1"/>
  <c r="H6" i="1" s="1"/>
  <c r="I6" i="1" s="1"/>
  <c r="G7" i="1"/>
  <c r="H7" i="1" s="1"/>
  <c r="I7" i="1" s="1"/>
  <c r="G8" i="1"/>
  <c r="H8" i="1" s="1"/>
  <c r="I8" i="1" s="1"/>
  <c r="J8" i="1" s="1"/>
  <c r="G9" i="1"/>
  <c r="H9" i="1" s="1"/>
  <c r="G4" i="1"/>
  <c r="H4" i="1" s="1"/>
  <c r="I4" i="1" s="1"/>
  <c r="G3" i="1"/>
  <c r="H3" i="1" s="1"/>
  <c r="I3" i="1" s="1"/>
  <c r="G2" i="1"/>
  <c r="H2" i="1" s="1"/>
  <c r="I2" i="1" s="1"/>
  <c r="C16" i="1"/>
  <c r="I9" i="1" l="1"/>
  <c r="J9" i="1"/>
  <c r="J6" i="1"/>
  <c r="J4" i="1"/>
  <c r="J7" i="1"/>
  <c r="J3" i="1"/>
  <c r="J2" i="1"/>
</calcChain>
</file>

<file path=xl/sharedStrings.xml><?xml version="1.0" encoding="utf-8"?>
<sst xmlns="http://schemas.openxmlformats.org/spreadsheetml/2006/main" count="31" uniqueCount="25">
  <si>
    <t>order id</t>
  </si>
  <si>
    <t>Product</t>
  </si>
  <si>
    <t>Price</t>
  </si>
  <si>
    <t>Quantity</t>
  </si>
  <si>
    <t>Discount%</t>
  </si>
  <si>
    <t>Salesperson</t>
  </si>
  <si>
    <t>pen</t>
  </si>
  <si>
    <t>pencil</t>
  </si>
  <si>
    <t>Notebook</t>
  </si>
  <si>
    <t>eraser</t>
  </si>
  <si>
    <t>marker</t>
  </si>
  <si>
    <t>scale</t>
  </si>
  <si>
    <t>Sharpner</t>
  </si>
  <si>
    <t>File</t>
  </si>
  <si>
    <t>amit</t>
  </si>
  <si>
    <t>riya</t>
  </si>
  <si>
    <t>john</t>
  </si>
  <si>
    <t>Company Tax</t>
  </si>
  <si>
    <t>Shipping Charge</t>
  </si>
  <si>
    <t>total price</t>
  </si>
  <si>
    <t>Discounted price</t>
  </si>
  <si>
    <t>discounted price</t>
  </si>
  <si>
    <t>Tax Amount</t>
  </si>
  <si>
    <t>including price and quantity</t>
  </si>
  <si>
    <t>5.total amt including shipping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</si>
</sst>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1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5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">
    <xf numFmtId="0" fontId="0" fillId="0" borderId="0"/>
    <xf numFmtId="0" fontId="2" fillId="2" borderId="1" applyNumberFormat="0" applyAlignment="0" applyProtection="0"/>
    <xf numFmtId="0" fontId="3" fillId="3" borderId="2" applyNumberFormat="0" applyAlignment="0" applyProtection="0"/>
    <xf numFmtId="0" fontId="1" fillId="4" borderId="0" applyNumberFormat="0" applyBorder="0" applyAlignment="0" applyProtection="0"/>
  </cellStyleXfs>
  <cellXfs count="9">
    <xf numFmtId="0" fontId="0" fillId="0" borderId="0" xfId="0"/>
    <xf numFmtId="9" fontId="0" fillId="0" borderId="0" xfId="0" applyNumberFormat="1"/>
    <xf numFmtId="0" fontId="2" fillId="2" borderId="1" xfId="1"/>
    <xf numFmtId="0" fontId="1" fillId="4" borderId="0" xfId="3"/>
    <xf numFmtId="0" fontId="1" fillId="4" borderId="1" xfId="3" applyBorder="1"/>
    <xf numFmtId="0" fontId="3" fillId="3" borderId="2" xfId="2"/>
    <xf numFmtId="164" fontId="3" fillId="3" borderId="2" xfId="2" applyNumberFormat="1"/>
    <xf numFmtId="0" fontId="1" fillId="4" borderId="0" xfId="3" applyBorder="1"/>
    <xf numFmtId="0" fontId="0" fillId="4" borderId="0" xfId="3" applyFont="1"/>
  </cellXfs>
  <cellStyles count="4">
    <cellStyle name="20% - Accent2" xfId="3" builtinId="34"/>
    <cellStyle name="Calculation" xfId="1" builtinId="22"/>
    <cellStyle name="Check Cell" xfId="2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24244-168B-459E-A8EA-EC05A4956365}">
  <dimension ref="A1:M16"/>
  <sheetViews>
    <sheetView tabSelected="1" workbookViewId="0">
      <selection activeCell="A17" sqref="A17"/>
    </sheetView>
  </sheetViews>
  <sheetFormatPr defaultRowHeight="15" x14ac:dyDescent="0.25"/>
  <cols>
    <col min="1" max="1" width="17.7109375" customWidth="1"/>
    <col min="2" max="2" width="11.5703125" customWidth="1"/>
    <col min="5" max="5" width="20.85546875" customWidth="1"/>
    <col min="6" max="6" width="18.140625" customWidth="1"/>
    <col min="7" max="7" width="24" style="2" customWidth="1"/>
    <col min="8" max="8" width="31.28515625" style="2" customWidth="1"/>
    <col min="9" max="9" width="36.85546875" style="2" customWidth="1"/>
    <col min="10" max="11" width="31.28515625" style="2" customWidth="1"/>
    <col min="12" max="12" width="17.5703125" customWidth="1"/>
  </cols>
  <sheetData>
    <row r="1" spans="1:13" s="5" customFormat="1" ht="16.5" thickTop="1" thickBot="1" x14ac:dyDescent="0.3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  <c r="G1" s="5" t="s">
        <v>20</v>
      </c>
      <c r="H1" s="5" t="s">
        <v>21</v>
      </c>
      <c r="I1" s="5" t="s">
        <v>22</v>
      </c>
      <c r="J1" s="5" t="s">
        <v>19</v>
      </c>
      <c r="K1" s="5" t="s">
        <v>23</v>
      </c>
    </row>
    <row r="2" spans="1:13" ht="15.75" thickTop="1" x14ac:dyDescent="0.25">
      <c r="A2">
        <v>1001</v>
      </c>
      <c r="B2" t="s">
        <v>6</v>
      </c>
      <c r="C2">
        <v>10</v>
      </c>
      <c r="D2">
        <v>5</v>
      </c>
      <c r="E2" s="1">
        <v>0.05</v>
      </c>
      <c r="F2" t="s">
        <v>14</v>
      </c>
      <c r="G2" s="2">
        <f>(E2*C2)</f>
        <v>0.5</v>
      </c>
      <c r="H2" s="2">
        <f>(C2-G2)</f>
        <v>9.5</v>
      </c>
      <c r="I2" s="2">
        <f>($M$4*H2)</f>
        <v>1.71</v>
      </c>
      <c r="J2" s="2">
        <f>(H2+I2)</f>
        <v>11.21</v>
      </c>
      <c r="K2" s="2">
        <f>((J2*D2)+$M$5)</f>
        <v>76.050000000000011</v>
      </c>
    </row>
    <row r="3" spans="1:13" x14ac:dyDescent="0.25">
      <c r="A3">
        <v>1002</v>
      </c>
      <c r="B3" t="s">
        <v>7</v>
      </c>
      <c r="C3">
        <v>5</v>
      </c>
      <c r="D3">
        <v>10</v>
      </c>
      <c r="E3" s="1">
        <v>0</v>
      </c>
      <c r="F3" t="s">
        <v>15</v>
      </c>
      <c r="G3" s="2">
        <f>(E3*C3)</f>
        <v>0</v>
      </c>
      <c r="H3" s="2">
        <f t="shared" ref="H3:H9" si="0">(C3-G3)</f>
        <v>5</v>
      </c>
      <c r="I3" s="2">
        <f>($M$4*H3)</f>
        <v>0.89999999999999991</v>
      </c>
      <c r="J3" s="2">
        <f t="shared" ref="J3:J9" si="1">(H3+I3)</f>
        <v>5.9</v>
      </c>
      <c r="K3" s="2">
        <f t="shared" ref="K3:K9" si="2">((J3*D3)+$M$5)</f>
        <v>79</v>
      </c>
    </row>
    <row r="4" spans="1:13" x14ac:dyDescent="0.25">
      <c r="A4">
        <v>1003</v>
      </c>
      <c r="B4" t="s">
        <v>8</v>
      </c>
      <c r="C4">
        <v>50</v>
      </c>
      <c r="D4">
        <v>3</v>
      </c>
      <c r="E4" s="1">
        <v>0.1</v>
      </c>
      <c r="F4" t="s">
        <v>16</v>
      </c>
      <c r="G4" s="2">
        <f>(E4*C4)</f>
        <v>5</v>
      </c>
      <c r="H4" s="2">
        <f t="shared" si="0"/>
        <v>45</v>
      </c>
      <c r="I4" s="2">
        <f t="shared" ref="I4:I9" si="3">($M$4*H4)</f>
        <v>8.1</v>
      </c>
      <c r="J4" s="2">
        <f t="shared" si="1"/>
        <v>53.1</v>
      </c>
      <c r="K4" s="2">
        <f t="shared" si="2"/>
        <v>179.3</v>
      </c>
      <c r="L4" t="s">
        <v>17</v>
      </c>
      <c r="M4" s="1">
        <v>0.18</v>
      </c>
    </row>
    <row r="5" spans="1:13" x14ac:dyDescent="0.25">
      <c r="A5">
        <v>1004</v>
      </c>
      <c r="B5" t="s">
        <v>9</v>
      </c>
      <c r="C5">
        <v>3</v>
      </c>
      <c r="D5">
        <v>20</v>
      </c>
      <c r="E5" s="1">
        <v>0</v>
      </c>
      <c r="F5" t="s">
        <v>14</v>
      </c>
      <c r="G5" s="2">
        <f t="shared" ref="G5:G9" si="4">(E5*C5)</f>
        <v>0</v>
      </c>
      <c r="H5" s="2">
        <f t="shared" si="0"/>
        <v>3</v>
      </c>
      <c r="I5" s="2">
        <f t="shared" si="3"/>
        <v>0.54</v>
      </c>
      <c r="J5" s="2">
        <f t="shared" si="1"/>
        <v>3.54</v>
      </c>
      <c r="K5" s="2">
        <f t="shared" si="2"/>
        <v>90.8</v>
      </c>
      <c r="L5" t="s">
        <v>18</v>
      </c>
      <c r="M5">
        <v>20</v>
      </c>
    </row>
    <row r="6" spans="1:13" x14ac:dyDescent="0.25">
      <c r="A6">
        <v>1005</v>
      </c>
      <c r="B6" t="s">
        <v>10</v>
      </c>
      <c r="C6">
        <v>25</v>
      </c>
      <c r="D6">
        <v>4</v>
      </c>
      <c r="E6" s="1">
        <v>0.05</v>
      </c>
      <c r="F6" t="s">
        <v>15</v>
      </c>
      <c r="G6" s="2">
        <f t="shared" si="4"/>
        <v>1.25</v>
      </c>
      <c r="H6" s="2">
        <f t="shared" si="0"/>
        <v>23.75</v>
      </c>
      <c r="I6" s="2">
        <f t="shared" si="3"/>
        <v>4.2749999999999995</v>
      </c>
      <c r="J6" s="2">
        <f t="shared" si="1"/>
        <v>28.024999999999999</v>
      </c>
      <c r="K6" s="2">
        <f t="shared" si="2"/>
        <v>132.1</v>
      </c>
    </row>
    <row r="7" spans="1:13" x14ac:dyDescent="0.25">
      <c r="A7">
        <v>1006</v>
      </c>
      <c r="B7" t="s">
        <v>11</v>
      </c>
      <c r="C7">
        <v>15</v>
      </c>
      <c r="D7">
        <v>6</v>
      </c>
      <c r="E7" s="1">
        <v>0</v>
      </c>
      <c r="F7" t="s">
        <v>16</v>
      </c>
      <c r="G7" s="2">
        <f t="shared" si="4"/>
        <v>0</v>
      </c>
      <c r="H7" s="2">
        <f t="shared" si="0"/>
        <v>15</v>
      </c>
      <c r="I7" s="2">
        <f t="shared" si="3"/>
        <v>2.6999999999999997</v>
      </c>
      <c r="J7" s="2">
        <f t="shared" si="1"/>
        <v>17.7</v>
      </c>
      <c r="K7" s="2">
        <f t="shared" si="2"/>
        <v>126.19999999999999</v>
      </c>
    </row>
    <row r="8" spans="1:13" x14ac:dyDescent="0.25">
      <c r="A8">
        <v>1007</v>
      </c>
      <c r="B8" t="s">
        <v>12</v>
      </c>
      <c r="C8">
        <v>8</v>
      </c>
      <c r="D8">
        <v>8</v>
      </c>
      <c r="E8" s="1">
        <v>0.05</v>
      </c>
      <c r="F8" t="s">
        <v>14</v>
      </c>
      <c r="G8" s="2">
        <f t="shared" si="4"/>
        <v>0.4</v>
      </c>
      <c r="H8" s="2">
        <f t="shared" si="0"/>
        <v>7.6</v>
      </c>
      <c r="I8" s="2">
        <f t="shared" si="3"/>
        <v>1.3679999999999999</v>
      </c>
      <c r="J8" s="2">
        <f t="shared" si="1"/>
        <v>8.968</v>
      </c>
      <c r="K8" s="2">
        <f t="shared" si="2"/>
        <v>91.744</v>
      </c>
    </row>
    <row r="9" spans="1:13" x14ac:dyDescent="0.25">
      <c r="A9">
        <v>1008</v>
      </c>
      <c r="B9" t="s">
        <v>13</v>
      </c>
      <c r="C9">
        <v>40</v>
      </c>
      <c r="D9">
        <v>2</v>
      </c>
      <c r="E9" s="1">
        <v>0.1</v>
      </c>
      <c r="F9" t="s">
        <v>15</v>
      </c>
      <c r="G9" s="2">
        <f t="shared" si="4"/>
        <v>4</v>
      </c>
      <c r="H9" s="2">
        <f t="shared" si="0"/>
        <v>36</v>
      </c>
      <c r="I9" s="2">
        <f t="shared" si="3"/>
        <v>6.4799999999999995</v>
      </c>
      <c r="J9" s="2">
        <f t="shared" si="1"/>
        <v>42.48</v>
      </c>
      <c r="K9" s="2">
        <f t="shared" si="2"/>
        <v>104.96</v>
      </c>
    </row>
    <row r="10" spans="1:13" x14ac:dyDescent="0.25">
      <c r="I10" s="2" t="s">
        <v>24</v>
      </c>
      <c r="K10" s="2">
        <f>SUM(K3:K9)</f>
        <v>804.10400000000016</v>
      </c>
    </row>
    <row r="16" spans="1:13" s="3" customFormat="1" x14ac:dyDescent="0.25">
      <c r="A16" s="8" t="s">
        <v>19</v>
      </c>
      <c r="C16" s="3">
        <f>(C2+C3+C4+C5+C6+C7+C8+C9)</f>
        <v>156</v>
      </c>
      <c r="G16" s="4"/>
      <c r="H16" s="4"/>
      <c r="I16" s="4"/>
      <c r="J16" s="7"/>
      <c r="K1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adway rakshit</dc:creator>
  <cp:lastModifiedBy>adway rakshit</cp:lastModifiedBy>
  <dcterms:created xsi:type="dcterms:W3CDTF">2026-02-20T05:39:56Z</dcterms:created>
  <dcterms:modified xsi:type="dcterms:W3CDTF">2026-02-20T06:45:51Z</dcterms:modified>
</cp:coreProperties>
</file>